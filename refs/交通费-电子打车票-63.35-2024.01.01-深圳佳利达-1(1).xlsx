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Y\Desktop\"/>
    </mc:Choice>
  </mc:AlternateContent>
  <bookViews>
    <workbookView windowWidth="23145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<sst xmlns="http://schemas.openxmlformats.org/spreadsheetml/2006/main" count="100" uniqueCount="56">
  <si>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手动计算</t>
  </si>
  <si>
    <t>序号</t>
  </si>
  <si>
    <t>发票号码</t>
  </si>
  <si>
    <t>购买方</t>
  </si>
  <si>
    <t>发票内容</t>
  </si>
  <si>
    <t>发票类型</t>
  </si>
  <si>
    <t>发票税率</t>
  </si>
  <si>
    <t>发票价税合计</t>
  </si>
  <si>
    <t>分类</t>
  </si>
  <si>
    <t>金额</t>
  </si>
  <si>
    <t>*交通运输服务*客运服务费</t>
  </si>
  <si>
    <t>电子发票（增值税普通发票）</t>
  </si>
  <si>
    <t>电子打车票3%</t>
  </si>
  <si>
    <t>*汽油*92号车用汽油（ⅥB）</t>
  </si>
  <si>
    <t>交通-0％</t>
  </si>
  <si>
    <t>*汽油*92号车用汽油（VIB）</t>
  </si>
  <si>
    <t>*代收转付境内机票费*代订机票产品</t>
  </si>
  <si>
    <t>交通-机票-0％</t>
  </si>
  <si>
    <t>*生产生活服务*代订机票产品</t>
  </si>
  <si>
    <t>*计算机外部设备*联想 MU222金属U盘</t>
  </si>
  <si>
    <t>其他-0％</t>
  </si>
  <si>
    <t>合计/TOTAL</t>
  </si>
  <si>
    <r>
      <t>费用部门
1</t>
    </r>
    <r>
      <rPr>
        <sz val="9"/>
        <color rgb="FFFF0000"/>
        <rFont val="Microsoft YaHei"/>
        <charset val="134"/>
      </rPr>
      <t>输入关键词</t>
    </r>
  </si>
  <si>
    <r>
      <t xml:space="preserve">费用小类
</t>
    </r>
    <r>
      <rPr>
        <sz val="9"/>
        <color rgb="FFFF0000"/>
        <rFont val="Microsoft YaHei"/>
        <charset val="134"/>
      </rPr>
      <t>3进入勾选</t>
    </r>
  </si>
  <si>
    <r>
      <t>成本中心
2</t>
    </r>
    <r>
      <rPr>
        <sz val="9"/>
        <color rgb="FFFF0000"/>
        <rFont val="Microsoft YaHei"/>
        <charset val="134"/>
      </rPr>
      <t>自动带出</t>
    </r>
  </si>
  <si>
    <r>
      <t>出发城市
4</t>
    </r>
    <r>
      <rPr>
        <sz val="9"/>
        <color rgb="FFFF0000"/>
        <rFont val="Microsoft YaHei"/>
        <charset val="134"/>
      </rPr>
      <t>手动勾选</t>
    </r>
  </si>
  <si>
    <r>
      <t>到达城市
5</t>
    </r>
    <r>
      <rPr>
        <sz val="9"/>
        <color rgb="FFFF0000"/>
        <rFont val="Microsoft YaHei"/>
        <charset val="134"/>
      </rPr>
      <t>手动勾选</t>
    </r>
  </si>
  <si>
    <r>
      <t>停留天数
6</t>
    </r>
    <r>
      <rPr>
        <sz val="9"/>
        <color rgb="FFFF0000"/>
        <rFont val="Microsoft YaHei"/>
        <charset val="134"/>
      </rPr>
      <t>手动输入</t>
    </r>
  </si>
  <si>
    <t>费用明细</t>
  </si>
  <si>
    <t>发票属性</t>
  </si>
  <si>
    <t>税率</t>
  </si>
  <si>
    <t>报销金额</t>
  </si>
  <si>
    <r>
      <t xml:space="preserve">未税金额
</t>
    </r>
    <r>
      <rPr>
        <sz val="9"/>
        <color rgb="FFFF0000"/>
        <rFont val="宋体"/>
        <charset val="134"/>
        <scheme val="minor"/>
      </rPr>
      <t>自动带出</t>
    </r>
  </si>
  <si>
    <t>税额</t>
  </si>
  <si>
    <t>未税金额</t>
  </si>
  <si>
    <t>明阳智慧综合部</t>
  </si>
  <si>
    <t>国内差旅费</t>
  </si>
  <si>
    <t>深圳佳利达</t>
  </si>
  <si>
    <t>中国/广东/深圳</t>
  </si>
  <si>
    <t>中国/广东/肇庆</t>
  </si>
  <si>
    <t>交通费</t>
  </si>
  <si>
    <t>电子打车票</t>
  </si>
  <si>
    <t>不用管</t>
  </si>
  <si>
    <t>普票</t>
  </si>
  <si>
    <t>其他费用</t>
  </si>
  <si>
    <t>专票</t>
  </si>
  <si>
    <t>住宿费</t>
  </si>
  <si>
    <t>餐费</t>
  </si>
  <si>
    <t>ETC发票</t>
  </si>
  <si>
    <t>其他</t>
  </si>
  <si>
    <t>火车票</t>
  </si>
  <si>
    <t>机票</t>
  </si>
  <si>
    <t>越南发票</t>
  </si>
  <si>
    <t>日本发票</t>
  </si>
  <si>
    <t>柬埔案发票</t>
  </si>
  <si>
    <t>马来西亚发票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</si>
</sst>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name val="Microsoft YaHei"/>
      <charset val="134"/>
    </font>
    <font>
      <sz val="9"/>
      <color rgb="FFFF0000"/>
      <name val="宋体"/>
      <charset val="134"/>
      <scheme val="minor"/>
    </font>
    <font>
      <sz val="9"/>
      <color rgb="FF000000"/>
      <name val="Microsoft YaHei"/>
      <charset val="134"/>
    </font>
    <font>
      <sz val="9"/>
      <color rgb="FF123885"/>
      <name val="Microsoft YaHei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rgb="FF000000"/>
      <name val="Helvetica"/>
      <charset val="134"/>
    </font>
    <font>
      <sz val="9"/>
      <color theme="1"/>
      <name val="宋体"/>
      <charset val="134"/>
      <scheme val="minor"/>
    </font>
    <font>
      <sz val="9"/>
      <color rgb="FF7D838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Microsoft YaHe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0BADD"/>
      </left>
      <right style="medium">
        <color rgb="FF90BADD"/>
      </right>
      <top style="medium">
        <color rgb="FF90BADD"/>
      </top>
      <bottom style="medium">
        <color rgb="FF90BADD"/>
      </bottom>
      <diagonal/>
    </border>
    <border>
      <left style="medium">
        <color rgb="FF90BADD"/>
      </left>
      <right style="medium">
        <color rgb="FF90BADD"/>
      </right>
      <top style="medium">
        <color rgb="FF90BADD"/>
      </top>
      <bottom/>
      <diagonal/>
    </border>
    <border>
      <left style="medium">
        <color rgb="FF90BADD"/>
      </left>
      <right/>
      <top style="medium">
        <color rgb="FF90BADD"/>
      </top>
      <bottom style="medium">
        <color rgb="FF90BADD"/>
      </bottom>
      <diagonal/>
    </border>
    <border>
      <left/>
      <right style="medium">
        <color rgb="FF90BADD"/>
      </right>
      <top style="medium">
        <color rgb="FF90BADD"/>
      </top>
      <bottom style="medium">
        <color rgb="FF90BAD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90BADD"/>
      </left>
      <right style="medium">
        <color rgb="FF90BADD"/>
      </right>
      <top/>
      <bottom style="medium">
        <color rgb="FF90BA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0" xfId="0" applyNumberFormat="1" applyFill="1" applyBorder="1">
      <alignment vertical="center"/>
    </xf>
    <xf numFmtId="0" fontId="0" fillId="4" borderId="0" xfId="0" applyFill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0" fontId="1" fillId="5" borderId="2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0" fontId="3" fillId="6" borderId="2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10" fontId="3" fillId="7" borderId="2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0" fontId="3" fillId="8" borderId="2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0" fillId="2" borderId="9" xfId="0" applyFill="1" applyBorder="1">
      <alignment vertical="center"/>
    </xf>
    <xf numFmtId="0" fontId="0" fillId="2" borderId="2" xfId="0" applyFill="1" applyBorder="1">
      <alignment vertical="center"/>
    </xf>
    <xf numFmtId="4" fontId="1" fillId="2" borderId="4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>
      <alignment vertical="center"/>
    </xf>
    <xf numFmtId="9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9" fontId="0" fillId="2" borderId="0" xfId="0" applyNumberForma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9" fontId="8" fillId="6" borderId="1" xfId="0" applyNumberFormat="1" applyFont="1" applyFill="1" applyBorder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9" fontId="8" fillId="7" borderId="1" xfId="0" applyNumberFormat="1" applyFont="1" applyFill="1" applyBorder="1">
      <alignment vertical="center"/>
    </xf>
    <xf numFmtId="0" fontId="8" fillId="7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>
      <alignment vertical="center"/>
    </xf>
    <xf numFmtId="0" fontId="8" fillId="8" borderId="1" xfId="0" applyFont="1" applyFill="1" applyBorder="1" applyAlignment="1">
      <alignment horizontal="center" vertical="center"/>
    </xf>
    <xf numFmtId="9" fontId="8" fillId="2" borderId="1" xfId="0" applyNumberFormat="1" applyFont="1" applyFill="1" applyBorder="1">
      <alignment vertical="center"/>
    </xf>
    <xf numFmtId="0" fontId="3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U25"/>
  <sheetViews>
    <sheetView tabSelected="1" workbookViewId="0">
      <selection activeCell="K19" sqref="K19"/>
    </sheetView>
  </sheetViews>
  <sheetFormatPr defaultColWidth="9" defaultRowHeight="13.5"/>
  <cols>
    <col min="2" max="2" width="12.125" customWidth="1"/>
    <col min="3" max="3" width="8.875" customWidth="1"/>
    <col min="4" max="4" width="26.875" customWidth="1"/>
    <col min="5" max="5" width="27.25" customWidth="1"/>
    <col min="6" max="6" width="21.375" customWidth="1"/>
    <col min="8" max="8" width="11.25" customWidth="1"/>
    <col min="10" max="10" width="3.625" style="2" customWidth="1"/>
    <col min="12" max="12" width="6.625" customWidth="1"/>
  </cols>
  <sheetData>
    <row r="2" ht="14.25" spans="1:21">
      <c r="A2" s="3"/>
      <c r="B2" s="3"/>
      <c r="C2" s="3"/>
      <c r="D2" s="3"/>
      <c r="E2" s="3"/>
      <c r="F2" s="3"/>
      <c r="G2" s="3"/>
      <c r="H2" s="4" t="s">
        <v>0</v>
      </c>
      <c r="I2" s="4"/>
      <c r="J2" s="5"/>
      <c r="M2" s="3"/>
      <c r="N2" s="3"/>
      <c r="O2" s="3"/>
      <c r="P2" s="3"/>
      <c r="Q2" s="3"/>
      <c r="R2" s="3"/>
      <c r="S2" s="3"/>
      <c r="T2" s="3"/>
      <c r="U2" s="3"/>
    </row>
    <row r="3" ht="29.25" spans="1:21">
      <c r="A3" s="6" t="s">
        <v>1</v>
      </c>
      <c r="B3" s="7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9" t="s">
        <v>8</v>
      </c>
      <c r="I3" s="10" t="s">
        <v>9</v>
      </c>
      <c r="J3" s="11"/>
      <c r="M3" s="3"/>
      <c r="N3" s="3"/>
      <c r="O3" s="3"/>
      <c r="P3" s="3"/>
      <c r="Q3" s="3"/>
      <c r="R3" s="3"/>
      <c r="S3" s="12"/>
      <c r="T3" s="3"/>
      <c r="U3" s="3"/>
    </row>
    <row r="4" ht="15" spans="1:21">
      <c r="A4" s="13">
        <v>1</v>
      </c>
      <c r="B4" s="14"/>
      <c r="C4" s="15"/>
      <c r="D4" s="16" t="s">
        <v>10</v>
      </c>
      <c r="E4" s="17" t="s">
        <v>11</v>
      </c>
      <c r="F4" s="18">
        <v>0.03</v>
      </c>
      <c r="G4" s="19">
        <v>39.25</v>
      </c>
      <c r="H4" s="20" t="s">
        <v>12</v>
      </c>
      <c r="I4" s="21">
        <f>G4+G5</f>
        <v>63.35</v>
      </c>
      <c r="J4" s="22"/>
      <c r="M4" s="3"/>
      <c r="N4" s="3"/>
      <c r="O4" s="3"/>
      <c r="P4" s="3"/>
      <c r="Q4" s="3"/>
      <c r="R4" s="3"/>
      <c r="S4" s="12"/>
      <c r="T4" s="3"/>
      <c r="U4" s="3"/>
    </row>
    <row r="5" ht="15" spans="1:21">
      <c r="A5" s="13">
        <v>2</v>
      </c>
      <c r="B5" s="14"/>
      <c r="C5" s="15"/>
      <c r="D5" s="16" t="s">
        <v>10</v>
      </c>
      <c r="E5" s="17" t="s">
        <v>11</v>
      </c>
      <c r="F5" s="18">
        <v>0.03</v>
      </c>
      <c r="G5" s="19">
        <v>24.1</v>
      </c>
      <c r="H5" s="23"/>
      <c r="I5" s="21"/>
      <c r="J5" s="24"/>
      <c r="M5" s="3"/>
      <c r="N5" s="3"/>
      <c r="O5" s="3"/>
      <c r="P5" s="3"/>
      <c r="Q5" s="3"/>
      <c r="R5" s="3"/>
      <c r="S5" s="12"/>
      <c r="T5" s="3"/>
      <c r="U5" s="3"/>
    </row>
    <row r="6" ht="15" spans="1:21">
      <c r="A6" s="13">
        <v>3</v>
      </c>
      <c r="B6" s="14"/>
      <c r="C6" s="15"/>
      <c r="D6" s="25" t="s">
        <v>13</v>
      </c>
      <c r="E6" s="26" t="s">
        <v>11</v>
      </c>
      <c r="F6" s="27">
        <v>0.13</v>
      </c>
      <c r="G6" s="28">
        <v>391</v>
      </c>
      <c r="H6" s="29" t="s">
        <v>14</v>
      </c>
      <c r="I6" s="30">
        <f>G6+G7+G8</f>
        <v>1154</v>
      </c>
      <c r="J6" s="11"/>
      <c r="M6" s="3"/>
      <c r="N6" s="3"/>
      <c r="O6" s="3"/>
      <c r="P6" s="3"/>
      <c r="Q6" s="3"/>
      <c r="R6" s="3"/>
      <c r="S6" s="12"/>
      <c r="T6" s="3"/>
      <c r="U6" s="3"/>
    </row>
    <row r="7" ht="15" spans="1:21">
      <c r="A7" s="13">
        <v>6</v>
      </c>
      <c r="B7" s="14"/>
      <c r="C7" s="15"/>
      <c r="D7" s="25" t="s">
        <v>13</v>
      </c>
      <c r="E7" s="26" t="s">
        <v>11</v>
      </c>
      <c r="F7" s="27">
        <v>0.13</v>
      </c>
      <c r="G7" s="28">
        <v>375</v>
      </c>
      <c r="H7" s="31"/>
      <c r="I7" s="32"/>
      <c r="J7" s="11"/>
      <c r="M7" s="3"/>
      <c r="N7" s="3"/>
      <c r="O7" s="3"/>
      <c r="P7" s="3"/>
      <c r="Q7" s="3"/>
      <c r="R7" s="3"/>
      <c r="S7" s="12"/>
      <c r="T7" s="3"/>
      <c r="U7" s="3"/>
    </row>
    <row r="8" ht="15" spans="1:21">
      <c r="A8" s="13">
        <v>7</v>
      </c>
      <c r="B8" s="14"/>
      <c r="C8" s="15"/>
      <c r="D8" s="25" t="s">
        <v>15</v>
      </c>
      <c r="E8" s="26" t="s">
        <v>11</v>
      </c>
      <c r="F8" s="27">
        <v>0.13</v>
      </c>
      <c r="G8" s="28">
        <v>388</v>
      </c>
      <c r="H8" s="33"/>
      <c r="I8" s="34"/>
      <c r="J8" s="11"/>
      <c r="M8" s="3"/>
      <c r="N8" s="3"/>
      <c r="O8" s="3"/>
      <c r="P8" s="3"/>
      <c r="Q8" s="3"/>
      <c r="R8" s="3"/>
      <c r="S8" s="12"/>
      <c r="T8" s="3"/>
      <c r="U8" s="3"/>
    </row>
    <row r="9" ht="15" spans="1:21">
      <c r="A9" s="13">
        <v>4</v>
      </c>
      <c r="B9" s="14"/>
      <c r="C9" s="15"/>
      <c r="D9" s="35" t="s">
        <v>16</v>
      </c>
      <c r="E9" s="36" t="s">
        <v>11</v>
      </c>
      <c r="F9" s="37">
        <v>0</v>
      </c>
      <c r="G9" s="38">
        <v>620</v>
      </c>
      <c r="H9" s="39" t="s">
        <v>17</v>
      </c>
      <c r="I9" s="40">
        <f>G9+G10</f>
        <v>1137</v>
      </c>
      <c r="J9" s="11"/>
      <c r="M9" s="3"/>
      <c r="N9" s="3"/>
      <c r="O9" s="3"/>
      <c r="P9" s="3"/>
      <c r="Q9" s="3"/>
      <c r="R9" s="3"/>
      <c r="S9" s="12"/>
      <c r="T9" s="3"/>
      <c r="U9" s="3"/>
    </row>
    <row r="10" ht="15" spans="1:21">
      <c r="A10" s="13">
        <v>5</v>
      </c>
      <c r="B10" s="14"/>
      <c r="C10" s="15"/>
      <c r="D10" s="35" t="s">
        <v>18</v>
      </c>
      <c r="E10" s="36" t="s">
        <v>11</v>
      </c>
      <c r="F10" s="37">
        <v>0.06</v>
      </c>
      <c r="G10" s="38">
        <v>517</v>
      </c>
      <c r="H10" s="41"/>
      <c r="I10" s="42"/>
      <c r="J10" s="11"/>
      <c r="M10" s="3"/>
      <c r="N10" s="3"/>
      <c r="O10" s="3"/>
      <c r="P10" s="3"/>
      <c r="Q10" s="3"/>
      <c r="R10" s="3"/>
      <c r="S10" s="12"/>
      <c r="T10" s="3"/>
      <c r="U10" s="3"/>
    </row>
    <row r="11" ht="15" spans="1:21">
      <c r="A11" s="13">
        <v>8</v>
      </c>
      <c r="B11" s="14"/>
      <c r="C11" s="15"/>
      <c r="D11" s="43" t="s">
        <v>19</v>
      </c>
      <c r="E11" s="44" t="s">
        <v>11</v>
      </c>
      <c r="F11" s="45">
        <v>0.01</v>
      </c>
      <c r="G11" s="46">
        <v>129.9</v>
      </c>
      <c r="H11" s="47" t="s">
        <v>20</v>
      </c>
      <c r="I11" s="48">
        <v>301.69</v>
      </c>
      <c r="J11" s="11"/>
      <c r="M11" s="3"/>
      <c r="N11" s="3"/>
      <c r="O11" s="3"/>
      <c r="P11" s="3"/>
      <c r="Q11" s="3"/>
      <c r="R11" s="3"/>
      <c r="S11" s="12"/>
      <c r="T11" s="3"/>
      <c r="U11" s="3"/>
    </row>
    <row r="12" ht="15" spans="1:21">
      <c r="A12" s="13">
        <v>9</v>
      </c>
      <c r="B12" s="14"/>
      <c r="C12" s="15"/>
      <c r="D12" s="43" t="s">
        <v>19</v>
      </c>
      <c r="E12" s="44" t="s">
        <v>11</v>
      </c>
      <c r="F12" s="45">
        <v>0.01</v>
      </c>
      <c r="G12" s="46">
        <v>93.89</v>
      </c>
      <c r="H12" s="49"/>
      <c r="I12" s="50"/>
      <c r="J12" s="11"/>
      <c r="M12" s="3"/>
      <c r="N12" s="3"/>
      <c r="O12" s="3"/>
      <c r="P12" s="3"/>
      <c r="Q12" s="3"/>
      <c r="R12" s="3"/>
      <c r="S12" s="12"/>
      <c r="T12" s="3"/>
      <c r="U12" s="3"/>
    </row>
    <row r="13" ht="15" spans="1:21">
      <c r="A13" s="13">
        <v>10</v>
      </c>
      <c r="B13" s="14"/>
      <c r="C13" s="15"/>
      <c r="D13" s="43" t="s">
        <v>19</v>
      </c>
      <c r="E13" s="44" t="s">
        <v>11</v>
      </c>
      <c r="F13" s="45">
        <v>0.01</v>
      </c>
      <c r="G13" s="46">
        <v>77.9</v>
      </c>
      <c r="H13" s="51"/>
      <c r="I13" s="52"/>
      <c r="J13" s="11"/>
      <c r="M13" s="3"/>
      <c r="N13" s="3"/>
      <c r="O13" s="3"/>
      <c r="P13" s="3"/>
      <c r="Q13" s="3"/>
      <c r="R13" s="3"/>
      <c r="S13" s="12"/>
      <c r="T13" s="3"/>
      <c r="U13" s="3"/>
    </row>
    <row r="14" ht="15" spans="1:21">
      <c r="A14" s="53" t="s">
        <v>21</v>
      </c>
      <c r="B14" s="54"/>
      <c r="C14" s="54"/>
      <c r="D14" s="55"/>
      <c r="E14" s="55"/>
      <c r="F14" s="55"/>
      <c r="G14" s="56">
        <v>2656.04</v>
      </c>
      <c r="H14" s="57"/>
      <c r="I14" s="57"/>
      <c r="J14" s="11"/>
      <c r="M14" s="3"/>
      <c r="N14" s="3"/>
      <c r="O14" s="3"/>
      <c r="P14" s="3"/>
      <c r="Q14" s="3"/>
      <c r="R14" s="3"/>
      <c r="S14" s="12"/>
      <c r="T14" s="3"/>
      <c r="U14" s="3"/>
    </row>
    <row r="15" spans="1:21">
      <c r="A15" s="12"/>
      <c r="B15" s="12"/>
      <c r="C15" s="12"/>
      <c r="D15" s="12"/>
      <c r="E15" s="12"/>
      <c r="F15" s="3"/>
      <c r="G15" s="3"/>
      <c r="H15" s="3"/>
      <c r="I15" s="3"/>
      <c r="J15" s="58"/>
      <c r="K15" s="3"/>
      <c r="L15" s="3"/>
      <c r="M15" s="3"/>
      <c r="N15" s="3"/>
      <c r="O15" s="3"/>
      <c r="P15" s="3"/>
      <c r="Q15" s="3"/>
      <c r="R15" s="3"/>
      <c r="S15" s="3"/>
      <c r="T15" s="3"/>
      <c r="U15" s="12"/>
    </row>
    <row r="16" spans="1:21">
      <c r="A16" s="3"/>
      <c r="B16" s="3"/>
      <c r="C16" s="3"/>
      <c r="D16" s="3"/>
      <c r="E16" s="3"/>
      <c r="F16" s="3"/>
      <c r="G16" s="3"/>
      <c r="H16" s="3"/>
      <c r="I16" s="3"/>
      <c r="J16" s="58"/>
      <c r="K16" s="3"/>
      <c r="R16" s="3"/>
      <c r="S16" s="3"/>
      <c r="T16" s="3"/>
      <c r="U16" s="12"/>
    </row>
    <row r="17" spans="1:21">
      <c r="A17" s="59"/>
      <c r="B17" s="59"/>
      <c r="C17" s="59"/>
      <c r="D17" s="59"/>
      <c r="E17" s="59"/>
      <c r="F17" s="59"/>
      <c r="G17" s="59"/>
      <c r="H17" s="59"/>
      <c r="I17" s="59"/>
      <c r="J17" s="60"/>
      <c r="K17" s="59"/>
      <c r="R17" s="59"/>
      <c r="S17" s="59"/>
      <c r="T17" s="61"/>
      <c r="U17" s="12"/>
    </row>
    <row r="18" ht="14.25" spans="1:21">
      <c r="A18" s="3"/>
      <c r="B18" s="59"/>
      <c r="C18" s="59"/>
      <c r="D18" s="3"/>
      <c r="E18" s="59"/>
      <c r="F18" s="3"/>
      <c r="G18" s="3"/>
      <c r="H18" s="3"/>
      <c r="I18" s="3"/>
      <c r="J18" s="58"/>
      <c r="K18" s="59"/>
      <c r="R18" s="3"/>
      <c r="S18" s="3"/>
      <c r="T18" s="61"/>
      <c r="U18" s="12"/>
    </row>
    <row r="19" ht="32" customHeight="1" spans="1:21">
      <c r="A19" s="62" t="s">
        <v>1</v>
      </c>
      <c r="B19" s="62" t="s">
        <v>22</v>
      </c>
      <c r="C19" s="62" t="s">
        <v>23</v>
      </c>
      <c r="D19" s="62" t="s">
        <v>24</v>
      </c>
      <c r="E19" s="62" t="s">
        <v>25</v>
      </c>
      <c r="F19" s="62" t="s">
        <v>26</v>
      </c>
      <c r="G19" s="62" t="s">
        <v>27</v>
      </c>
      <c r="H19" s="62" t="s">
        <v>28</v>
      </c>
      <c r="I19" s="62" t="s">
        <v>29</v>
      </c>
      <c r="J19" s="63" t="s">
        <v>30</v>
      </c>
      <c r="K19" s="64" t="s">
        <v>31</v>
      </c>
      <c r="L19" s="65" t="s">
        <v>32</v>
      </c>
      <c r="R19" s="66" t="s">
        <v>33</v>
      </c>
      <c r="S19" s="66" t="s">
        <v>34</v>
      </c>
      <c r="T19" s="61"/>
      <c r="U19" s="12"/>
    </row>
    <row r="20" ht="15" spans="1:21">
      <c r="A20" s="15">
        <v>1</v>
      </c>
      <c r="B20" s="67" t="s">
        <v>35</v>
      </c>
      <c r="C20" s="67" t="s">
        <v>36</v>
      </c>
      <c r="D20" s="68" t="s">
        <v>37</v>
      </c>
      <c r="E20" s="69" t="s">
        <v>38</v>
      </c>
      <c r="F20" s="69" t="s">
        <v>39</v>
      </c>
      <c r="G20" s="70">
        <v>3</v>
      </c>
      <c r="H20" s="67" t="s">
        <v>40</v>
      </c>
      <c r="I20" s="67" t="s">
        <v>41</v>
      </c>
      <c r="J20" s="71">
        <v>0.03</v>
      </c>
      <c r="K20" s="72">
        <v>63.35</v>
      </c>
      <c r="L20" s="73" t="s">
        <v>42</v>
      </c>
      <c r="R20" s="55"/>
      <c r="S20" s="55"/>
      <c r="T20" s="61"/>
      <c r="U20" s="12"/>
    </row>
    <row r="21" ht="15" spans="1:21">
      <c r="A21" s="15"/>
      <c r="B21" s="67" t="s">
        <v>35</v>
      </c>
      <c r="C21" s="67" t="s">
        <v>36</v>
      </c>
      <c r="D21" s="68" t="s">
        <v>37</v>
      </c>
      <c r="E21" s="69" t="s">
        <v>38</v>
      </c>
      <c r="F21" s="69" t="s">
        <v>39</v>
      </c>
      <c r="G21" s="70">
        <v>3</v>
      </c>
      <c r="H21" s="67" t="s">
        <v>40</v>
      </c>
      <c r="I21" s="67" t="s">
        <v>43</v>
      </c>
      <c r="J21" s="74">
        <v>0</v>
      </c>
      <c r="K21" s="75">
        <v>1154</v>
      </c>
      <c r="L21" s="73" t="s">
        <v>42</v>
      </c>
      <c r="R21" s="55"/>
      <c r="S21" s="55"/>
      <c r="T21" s="61"/>
      <c r="U21" s="12"/>
    </row>
    <row r="22" ht="15" spans="1:21">
      <c r="A22" s="15"/>
      <c r="B22" s="67" t="s">
        <v>35</v>
      </c>
      <c r="C22" s="67" t="s">
        <v>36</v>
      </c>
      <c r="D22" s="68" t="s">
        <v>37</v>
      </c>
      <c r="E22" s="69" t="s">
        <v>38</v>
      </c>
      <c r="F22" s="69" t="s">
        <v>39</v>
      </c>
      <c r="G22" s="70">
        <v>3</v>
      </c>
      <c r="H22" s="76" t="s">
        <v>40</v>
      </c>
      <c r="I22" s="76" t="s">
        <v>43</v>
      </c>
      <c r="J22" s="77">
        <v>0</v>
      </c>
      <c r="K22" s="78">
        <v>1137</v>
      </c>
      <c r="L22" s="73" t="s">
        <v>42</v>
      </c>
      <c r="R22" s="55"/>
      <c r="S22" s="55"/>
      <c r="T22" s="61"/>
      <c r="U22" s="12"/>
    </row>
    <row r="23" ht="15" spans="1:21">
      <c r="A23" s="15"/>
      <c r="B23" s="67" t="s">
        <v>35</v>
      </c>
      <c r="C23" s="67" t="s">
        <v>36</v>
      </c>
      <c r="D23" s="68" t="s">
        <v>37</v>
      </c>
      <c r="E23" s="69" t="s">
        <v>38</v>
      </c>
      <c r="F23" s="69" t="s">
        <v>39</v>
      </c>
      <c r="G23" s="70">
        <v>3</v>
      </c>
      <c r="H23" s="76" t="s">
        <v>44</v>
      </c>
      <c r="I23" s="76" t="s">
        <v>43</v>
      </c>
      <c r="J23" s="79">
        <v>0</v>
      </c>
      <c r="K23" s="80">
        <v>301.69</v>
      </c>
      <c r="L23" s="73" t="s">
        <v>42</v>
      </c>
      <c r="R23" s="55"/>
      <c r="S23" s="55"/>
      <c r="T23" s="61"/>
      <c r="U23" s="12"/>
    </row>
    <row r="24" ht="15" spans="1:21">
      <c r="A24" s="53" t="s">
        <v>21</v>
      </c>
      <c r="B24" s="76"/>
      <c r="C24" s="76"/>
      <c r="D24" s="76"/>
      <c r="E24" s="76"/>
      <c r="F24" s="76"/>
      <c r="G24" s="76"/>
      <c r="H24" s="76"/>
      <c r="I24" s="76"/>
      <c r="J24" s="81"/>
      <c r="K24" s="15">
        <f>SUM(K20:K23)</f>
        <v>2656.04</v>
      </c>
      <c r="L24" s="73"/>
      <c r="R24" s="82">
        <v>0</v>
      </c>
      <c r="S24" s="82">
        <v>0</v>
      </c>
      <c r="T24" s="61"/>
      <c r="U24" s="12"/>
    </row>
    <row r="25" spans="1:21">
      <c r="A25" s="12"/>
      <c r="B25" s="12"/>
      <c r="C25" s="12"/>
      <c r="D25" s="12"/>
      <c r="E25" s="12"/>
      <c r="F25" s="3"/>
      <c r="G25" s="3"/>
      <c r="H25" s="3"/>
      <c r="I25" s="3"/>
      <c r="J25" s="5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</sheetData>
  <mergeCells count="21">
    <mergeCell ref="H2:I2"/>
    <mergeCell ref="B14:F14"/>
    <mergeCell ref="A15:E15"/>
    <mergeCell ref="G15:N15"/>
    <mergeCell ref="R18:S18"/>
    <mergeCell ref="B24:E24"/>
    <mergeCell ref="A25:E25"/>
    <mergeCell ref="G25:N25"/>
    <mergeCell ref="H4:H5"/>
    <mergeCell ref="H6:H8"/>
    <mergeCell ref="H9:H10"/>
    <mergeCell ref="H11:H13"/>
    <mergeCell ref="I4:I5"/>
    <mergeCell ref="I6:I8"/>
    <mergeCell ref="I9:I10"/>
    <mergeCell ref="I11:I13"/>
    <mergeCell ref="J4:J5"/>
    <mergeCell ref="R3:R14"/>
    <mergeCell ref="S3:S14"/>
    <mergeCell ref="T17:T24"/>
    <mergeCell ref="U17:U24"/>
  </mergeCells>
  <dataValidations count="3">
    <dataValidation type="list" allowBlank="1" showInputMessage="1" showErrorMessage="1" sqref="H20:H23">
      <formula1>Sheet2!$D$6:$D$9</formula1>
    </dataValidation>
    <dataValidation type="list" allowBlank="1" showInputMessage="1" showErrorMessage="1" sqref="I20:I23">
      <formula1>Sheet2!$F$6:$F$19</formula1>
    </dataValidation>
    <dataValidation type="list" allowBlank="1" showInputMessage="1" showErrorMessage="1" sqref="J20:J23">
      <formula1>Sheet2!$H$6:$H$12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D6:H19"/>
  <sheetViews>
    <sheetView workbookViewId="0">
      <selection activeCell="I19" sqref="I19"/>
    </sheetView>
  </sheetViews>
  <sheetFormatPr defaultColWidth="9" defaultRowHeight="13.5" outlineLevelCol="7"/>
  <cols>
    <col min="6" max="6" width="12.875" customWidth="1"/>
  </cols>
  <sheetData>
    <row r="6" spans="4:8">
      <c r="D6" t="s">
        <v>40</v>
      </c>
      <c r="F6" s="1" t="s">
        <v>45</v>
      </c>
      <c r="H6" s="2">
        <v>0</v>
      </c>
    </row>
    <row r="7" spans="4:8">
      <c r="D7" t="s">
        <v>46</v>
      </c>
      <c r="F7" t="s">
        <v>43</v>
      </c>
      <c r="H7" s="2">
        <v>0.01</v>
      </c>
    </row>
    <row r="8" spans="4:8">
      <c r="D8" t="s">
        <v>47</v>
      </c>
      <c r="F8" t="s">
        <v>48</v>
      </c>
      <c r="H8" s="2">
        <v>0.03</v>
      </c>
    </row>
    <row r="9" spans="4:8">
      <c r="D9" t="s">
        <v>44</v>
      </c>
      <c r="F9" t="s">
        <v>41</v>
      </c>
      <c r="H9" s="2">
        <v>0.05</v>
      </c>
    </row>
    <row r="10" spans="4:8">
      <c r="F10" t="s">
        <v>49</v>
      </c>
      <c r="H10" s="2">
        <v>0.06</v>
      </c>
    </row>
    <row r="11" spans="4:8">
      <c r="F11" t="s">
        <v>50</v>
      </c>
      <c r="H11" s="2">
        <v>0.09</v>
      </c>
    </row>
    <row r="12" spans="4:8">
      <c r="F12" s="1" t="s">
        <v>51</v>
      </c>
      <c r="H12" s="2">
        <v>0.13</v>
      </c>
    </row>
    <row r="13" spans="4:8">
      <c r="F13" t="s">
        <v>49</v>
      </c>
    </row>
    <row r="14" spans="4:8">
      <c r="F14" t="s">
        <v>50</v>
      </c>
    </row>
    <row r="15" spans="4:8">
      <c r="F15" t="s">
        <v>51</v>
      </c>
    </row>
    <row r="16" spans="4:8">
      <c r="F16" t="s">
        <v>52</v>
      </c>
    </row>
    <row r="17" spans="6:6">
      <c r="F17" t="s">
        <v>53</v>
      </c>
    </row>
    <row r="18" spans="6:6">
      <c r="F18" t="s">
        <v>54</v>
      </c>
    </row>
    <row r="19" spans="6:6">
      <c r="F19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....</cp:lastModifiedBy>
  <dcterms:created xsi:type="dcterms:W3CDTF">2026-10-13T03:44:39Z</dcterms:created>
  <dcterms:modified xsi:type="dcterms:W3CDTF">2026-10-13T04:09:08Z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CC3674F692FB4D88ABFB332A34EEB0CE_11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